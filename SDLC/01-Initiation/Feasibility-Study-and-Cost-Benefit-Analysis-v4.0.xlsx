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xmlns:r="http://schemas.openxmlformats.org/officeDocument/2006/relationships" name="CBA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Risk Analysis" sheetId="3" state="visible" r:id="rId3"/>
  </sheets>
  <definedNames>
    <definedName name="_xlnm.Print_Area" localSheetId="0">'CBA'!$B$1:$H$41</definedName>
    <definedName name="_xlnm.Print_Area" localSheetId="1">'DETAILS'!$A$1:$G$38</definedName>
    <definedName name="_xlnm.Print_Area" localSheetId="2">'Risk Analysis'!$A$1:$C$25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19">
    <font>
      <name val="Arial"/>
      <charset val="134"/>
      <sz val="10"/>
    </font>
    <font>
      <name val="Times New Roman"/>
      <charset val="1"/>
      <sz val="14"/>
    </font>
    <font>
      <name val="Times New Roman"/>
      <charset val="1"/>
      <sz val="12"/>
    </font>
    <font>
      <name val="Calibri"/>
      <charset val="1"/>
      <sz val="11"/>
    </font>
    <font>
      <name val="Times New Roman"/>
      <charset val="134"/>
      <color rgb="FF000000"/>
      <sz val="12"/>
    </font>
    <font>
      <name val="Calibri"/>
      <charset val="134"/>
      <color rgb="FF000000"/>
      <sz val="11"/>
    </font>
    <font>
      <name val="Times New Roman"/>
      <charset val="134"/>
      <b val="1"/>
      <color rgb="FF000000"/>
      <sz val="14"/>
    </font>
    <font>
      <name val="Calibri"/>
      <charset val="1"/>
      <b val="1"/>
      <sz val="14"/>
    </font>
    <font>
      <name val="Times New Roman"/>
      <charset val="134"/>
      <b val="1"/>
      <color rgb="FFFF0000"/>
      <sz val="12"/>
    </font>
    <font>
      <name val="Arial"/>
      <charset val="134"/>
      <color rgb="FF000000"/>
      <sz val="10"/>
    </font>
    <font>
      <name val="Arial"/>
      <charset val="134"/>
      <color theme="10"/>
      <sz val="10"/>
      <u val="single"/>
    </font>
    <font>
      <name val="Arial"/>
      <charset val="134"/>
      <color rgb="FF0000FF"/>
      <sz val="10"/>
      <u val="single"/>
    </font>
    <font>
      <name val="Arial"/>
      <charset val="134"/>
      <sz val="10"/>
    </font>
    <font>
      <name val="Segoe UI"/>
      <charset val="134"/>
      <color rgb="FF0D0D0D"/>
      <sz val="10"/>
    </font>
    <font>
      <name val="Arial"/>
      <charset val="134"/>
      <color rgb="FF000000"/>
      <sz val="10"/>
    </font>
    <font>
      <name val="Arial"/>
      <charset val="134"/>
      <color rgb="FF0D0D0D"/>
      <sz val="10"/>
    </font>
    <font>
      <name val="Arial"/>
      <charset val="134"/>
      <b val="1"/>
      <sz val="10"/>
    </font>
    <font>
      <b val="1"/>
    </font>
    <font>
      <b val="1"/>
      <color rgb="001F4E78"/>
    </font>
  </fonts>
  <fills count="9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8F9FB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12" fillId="0" borderId="0"/>
    <xf numFmtId="0" fontId="10" fillId="0" borderId="0"/>
  </cellStyleXfs>
  <cellXfs count="9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/>
    </xf>
    <xf numFmtId="0" fontId="5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wrapText="1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9" fillId="3" borderId="0" pivotButton="0" quotePrefix="0" xfId="0"/>
    <xf numFmtId="0" fontId="0" fillId="3" borderId="0" pivotButton="0" quotePrefix="0" xfId="0"/>
    <xf numFmtId="0" fontId="9" fillId="4" borderId="1" pivotButton="0" quotePrefix="0" xfId="0"/>
    <xf numFmtId="0" fontId="9" fillId="4" borderId="1" applyAlignment="1" pivotButton="0" quotePrefix="0" xfId="0">
      <alignment horizontal="left"/>
    </xf>
    <xf numFmtId="0" fontId="10" fillId="0" borderId="0" pivotButton="0" quotePrefix="0" xfId="1"/>
    <xf numFmtId="0" fontId="9" fillId="0" borderId="1" pivotButton="0" quotePrefix="0" xfId="0"/>
    <xf numFmtId="0" fontId="9" fillId="0" borderId="1" applyAlignment="1" pivotButton="0" quotePrefix="0" xfId="0">
      <alignment horizontal="left"/>
    </xf>
    <xf numFmtId="0" fontId="0" fillId="4" borderId="0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right"/>
    </xf>
    <xf numFmtId="0" fontId="11" fillId="0" borderId="1" pivotButton="0" quotePrefix="0" xfId="0"/>
    <xf numFmtId="0" fontId="12" fillId="0" borderId="12" pivotButton="0" quotePrefix="0" xfId="0"/>
    <xf numFmtId="0" fontId="12" fillId="0" borderId="12" applyAlignment="1" pivotButton="0" quotePrefix="0" xfId="0">
      <alignment horizontal="left"/>
    </xf>
    <xf numFmtId="3" fontId="0" fillId="0" borderId="12" applyAlignment="1" pivotButton="0" quotePrefix="0" xfId="0">
      <alignment horizontal="right"/>
    </xf>
    <xf numFmtId="0" fontId="0" fillId="0" borderId="12" pivotButton="0" quotePrefix="0" xfId="0"/>
    <xf numFmtId="0" fontId="9" fillId="4" borderId="12" pivotButton="0" quotePrefix="0" xfId="0"/>
    <xf numFmtId="0" fontId="14" fillId="4" borderId="12" applyAlignment="1" pivotButton="0" quotePrefix="0" xfId="0">
      <alignment horizontal="left"/>
    </xf>
    <xf numFmtId="3" fontId="12" fillId="0" borderId="12" applyAlignment="1" pivotButton="0" quotePrefix="0" xfId="0">
      <alignment horizontal="right"/>
    </xf>
    <xf numFmtId="0" fontId="15" fillId="0" borderId="12" applyAlignment="1" pivotButton="0" quotePrefix="0" xfId="0">
      <alignment horizontal="left"/>
    </xf>
    <xf numFmtId="0" fontId="1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6" fillId="5" borderId="12" applyAlignment="1" pivotButton="0" quotePrefix="0" xfId="0">
      <alignment horizontal="right"/>
    </xf>
    <xf numFmtId="0" fontId="0" fillId="0" borderId="12" applyAlignment="1" pivotButton="0" quotePrefix="0" xfId="0">
      <alignment horizontal="right"/>
    </xf>
    <xf numFmtId="0" fontId="0" fillId="0" borderId="12" applyAlignment="1" pivotButton="0" quotePrefix="0" xfId="0">
      <alignment horizontal="center"/>
    </xf>
    <xf numFmtId="0" fontId="16" fillId="0" borderId="12" applyAlignment="1" pivotButton="0" quotePrefix="0" xfId="0">
      <alignment horizontal="center"/>
    </xf>
    <xf numFmtId="3" fontId="16" fillId="0" borderId="12" applyAlignment="1" pivotButton="0" quotePrefix="0" xfId="0">
      <alignment horizontal="right"/>
    </xf>
    <xf numFmtId="3" fontId="9" fillId="4" borderId="12" applyAlignment="1" pivotButton="0" quotePrefix="0" xfId="0">
      <alignment horizontal="right"/>
    </xf>
    <xf numFmtId="0" fontId="16" fillId="0" borderId="12" pivotButton="0" quotePrefix="0" xfId="0"/>
    <xf numFmtId="37" fontId="16" fillId="0" borderId="12" applyAlignment="1" pivotButton="0" quotePrefix="0" xfId="0">
      <alignment horizontal="right"/>
    </xf>
    <xf numFmtId="0" fontId="16" fillId="0" borderId="0" applyAlignment="1" pivotButton="0" quotePrefix="0" xfId="0">
      <alignment horizontal="right"/>
    </xf>
    <xf numFmtId="0" fontId="0" fillId="5" borderId="13" pivotButton="0" quotePrefix="0" xfId="0"/>
    <xf numFmtId="0" fontId="0" fillId="0" borderId="14" pivotButton="0" quotePrefix="0" xfId="0"/>
    <xf numFmtId="0" fontId="16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16" fillId="0" borderId="15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16" fillId="0" borderId="13" pivotButton="0" quotePrefix="0" xfId="0"/>
    <xf numFmtId="0" fontId="0" fillId="0" borderId="0" applyAlignment="1" pivotButton="0" quotePrefix="0" xfId="0">
      <alignment horizontal="center"/>
    </xf>
    <xf numFmtId="0" fontId="0" fillId="0" borderId="1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0" pivotButton="0" quotePrefix="0" xfId="0"/>
    <xf numFmtId="0" fontId="0" fillId="3" borderId="0" pivotButton="0" quotePrefix="0" xfId="0"/>
    <xf numFmtId="0" fontId="12" fillId="0" borderId="12" applyAlignment="1" pivotButton="0" quotePrefix="0" xfId="0">
      <alignment horizontal="left"/>
    </xf>
    <xf numFmtId="0" fontId="13" fillId="0" borderId="12" applyAlignment="1" pivotButton="0" quotePrefix="0" xfId="0">
      <alignment horizontal="left"/>
    </xf>
    <xf numFmtId="3" fontId="12" fillId="0" borderId="12" applyAlignment="1" pivotButton="0" quotePrefix="0" xfId="0">
      <alignment horizontal="left"/>
    </xf>
    <xf numFmtId="0" fontId="7" fillId="0" borderId="2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2" fillId="0" borderId="4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5" borderId="12" pivotButton="0" quotePrefix="0" xfId="0"/>
    <xf numFmtId="0" fontId="16" fillId="0" borderId="18" applyAlignment="1" pivotButton="0" quotePrefix="0" xfId="0">
      <alignment horizontal="center"/>
    </xf>
    <xf numFmtId="0" fontId="0" fillId="0" borderId="16" pivotButton="0" quotePrefix="0" xfId="0"/>
    <xf numFmtId="0" fontId="0" fillId="0" borderId="17" pivotButton="0" quotePrefix="0" xfId="0"/>
    <xf numFmtId="164" fontId="0" fillId="0" borderId="1" pivotButton="0" quotePrefix="0" xfId="0"/>
    <xf numFmtId="0" fontId="0" fillId="0" borderId="19" pivotButton="0" quotePrefix="0" xfId="0"/>
    <xf numFmtId="0" fontId="7" fillId="0" borderId="1" applyAlignment="1" pivotButton="0" quotePrefix="0" xfId="0">
      <alignment horizontal="center" wrapText="1"/>
    </xf>
    <xf numFmtId="0" fontId="0" fillId="0" borderId="3" pivotButton="0" quotePrefix="0" xfId="0"/>
    <xf numFmtId="0" fontId="8" fillId="0" borderId="2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7" fillId="0" borderId="0" pivotButton="0" quotePrefix="0" xfId="0"/>
    <xf numFmtId="0" fontId="17" fillId="6" borderId="0" pivotButton="0" quotePrefix="0" xfId="0"/>
    <xf numFmtId="0" fontId="0" fillId="0" borderId="0" applyAlignment="1" pivotButton="0" quotePrefix="0" xfId="0">
      <alignment vertical="top" wrapText="1"/>
    </xf>
    <xf numFmtId="0" fontId="18" fillId="7" borderId="24" applyAlignment="1" pivotButton="0" quotePrefix="0" xfId="0">
      <alignment horizontal="left" vertical="center"/>
    </xf>
    <xf numFmtId="0" fontId="0" fillId="0" borderId="24" pivotButton="0" quotePrefix="0" xfId="0"/>
    <xf numFmtId="0" fontId="0" fillId="8" borderId="24" applyAlignment="1" pivotButton="0" quotePrefix="0" xfId="0">
      <alignment vertical="top" wrapText="1"/>
    </xf>
    <xf numFmtId="0" fontId="0" fillId="0" borderId="27" pivotButton="0" quotePrefix="0" xfId="0"/>
    <xf numFmtId="0" fontId="0" fillId="0" borderId="28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oursera.org/articles/project-manager-salary" TargetMode="External" Id="rId1"/><Relationship Type="http://schemas.openxmlformats.org/officeDocument/2006/relationships/hyperlink" Target="https://www.glassdoor.co.in/Salaries/united-states-business-analyst-salary-SRCH_IL.0,13_IN1_KO14,30.htm" TargetMode="External" Id="rId2"/><Relationship Type="http://schemas.openxmlformats.org/officeDocument/2006/relationships/hyperlink" Target="https://www.salary.com/companalyst/?utm_source=bing&amp;utm_medium=cpc&amp;utm_campaign=482909305&amp;utm_content=S%7C%20Salary&amp;utm_term=job%20wage&amp;msclkid=5b5ef32ca6671ffcf2ac96fc69438aa4" TargetMode="External" Id="rId3"/><Relationship Type="http://schemas.openxmlformats.org/officeDocument/2006/relationships/hyperlink" Target="https://www.coursera.org/articles/project-manager-salary" TargetMode="External" Id="rId4"/><Relationship Type="http://schemas.openxmlformats.org/officeDocument/2006/relationships/hyperlink" Target="https://www.ziprecruiter.com/Salaries/Software-Applications-Developer-Salary-in-Washington,DC" TargetMode="External" Id="rId5"/><Relationship Type="http://schemas.openxmlformats.org/officeDocument/2006/relationships/hyperlink" Target="https://www.glassdoor.com/Salaries/quality-assurance-manager-salary-SRCH_KO0,25.htm" TargetMode="External" Id="rId6"/><Relationship Type="http://schemas.openxmlformats.org/officeDocument/2006/relationships/hyperlink" Target="https://www.trustedtechteam.com/collections/microsoft-sql-server/products/microsoft-sql-server-2019-standard-10-cals-license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tabSelected="1" zoomScale="90" zoomScaleNormal="90" workbookViewId="0">
      <selection activeCell="J19" sqref="J19"/>
    </sheetView>
  </sheetViews>
  <sheetFormatPr baseColWidth="8" defaultColWidth="9" defaultRowHeight="12.3"/>
  <cols>
    <col width="30.609375" customWidth="1" style="52" min="2" max="2"/>
    <col width="11.21875" customWidth="1" style="35" min="3" max="3"/>
    <col width="10.33203125" customWidth="1" style="35" min="4" max="4"/>
    <col width="9.38671875" customWidth="1" style="35" min="5" max="5"/>
    <col width="9.5" customWidth="1" style="35" min="6" max="6"/>
    <col width="8.38671875" customWidth="1" style="35" min="7" max="7"/>
    <col width="8.94140625" customWidth="1" style="35" min="8" max="8"/>
  </cols>
  <sheetData>
    <row r="1">
      <c r="A1" s="71" t="n"/>
      <c r="B1" s="46" t="n"/>
      <c r="C1" s="36" t="inlineStr">
        <is>
          <t>Year 1 ($)</t>
        </is>
      </c>
      <c r="D1" s="36" t="inlineStr">
        <is>
          <t>Year 2 ($)</t>
        </is>
      </c>
      <c r="E1" s="36" t="inlineStr">
        <is>
          <t>Year 3 ($)</t>
        </is>
      </c>
      <c r="F1" s="36" t="inlineStr">
        <is>
          <t>Year 4 ($)</t>
        </is>
      </c>
      <c r="G1" s="36" t="inlineStr">
        <is>
          <t>Year 5 ($)</t>
        </is>
      </c>
      <c r="H1" s="36" t="inlineStr">
        <is>
          <t>Total</t>
        </is>
      </c>
    </row>
    <row r="2">
      <c r="A2" s="39" t="inlineStr">
        <is>
          <t>Benefits</t>
        </is>
      </c>
      <c r="B2" s="46" t="n"/>
      <c r="C2" s="37" t="n"/>
      <c r="D2" s="37" t="n"/>
      <c r="E2" s="37" t="n"/>
      <c r="F2" s="37" t="n"/>
      <c r="G2" s="37" t="n"/>
      <c r="H2" s="37" t="n"/>
    </row>
    <row r="3">
      <c r="A3" s="27" t="n">
        <v>110</v>
      </c>
      <c r="B3" s="38" t="inlineStr">
        <is>
          <t>Increased Revenues</t>
        </is>
      </c>
      <c r="C3" s="37" t="n">
        <v>0</v>
      </c>
      <c r="D3" s="26" t="n">
        <v>56000</v>
      </c>
      <c r="E3" s="26" t="n">
        <v>78400</v>
      </c>
      <c r="F3" s="37" t="n">
        <v>109760</v>
      </c>
      <c r="G3" s="37" t="n">
        <v>153664</v>
      </c>
      <c r="H3" s="26">
        <f>SUM(D3:G3)</f>
        <v/>
      </c>
    </row>
    <row r="4">
      <c r="A4" s="27" t="n">
        <v>111</v>
      </c>
      <c r="B4" s="38" t="inlineStr">
        <is>
          <t>Increased Sales</t>
        </is>
      </c>
      <c r="C4" s="37" t="n">
        <v>0</v>
      </c>
      <c r="D4" s="37" t="n">
        <v>75000</v>
      </c>
      <c r="E4" s="37" t="n">
        <v>112500</v>
      </c>
      <c r="F4" s="37" t="n">
        <v>168750</v>
      </c>
      <c r="G4" s="37" t="n">
        <v>253125</v>
      </c>
      <c r="H4" s="26">
        <f>SUM(D4:G4)</f>
        <v/>
      </c>
    </row>
    <row r="5">
      <c r="A5" s="27" t="n">
        <v>114</v>
      </c>
      <c r="B5" s="38" t="inlineStr">
        <is>
          <t xml:space="preserve">    Decreased Administrative Costs</t>
        </is>
      </c>
      <c r="C5" s="37" t="n">
        <v>0</v>
      </c>
      <c r="D5" s="26" t="n">
        <v>42000</v>
      </c>
      <c r="E5" s="26" t="n">
        <v>43260</v>
      </c>
      <c r="F5" s="26" t="n">
        <v>44557.8</v>
      </c>
      <c r="G5" s="26" t="n">
        <v>45894.534</v>
      </c>
      <c r="H5" s="26">
        <f>SUM(D5:G5)</f>
        <v/>
      </c>
    </row>
    <row r="6">
      <c r="A6" s="27" t="n">
        <v>115</v>
      </c>
      <c r="B6" s="38" t="inlineStr">
        <is>
          <t xml:space="preserve">Customer Retention </t>
        </is>
      </c>
      <c r="C6" s="37" t="n">
        <v>0</v>
      </c>
      <c r="D6" s="26" t="n">
        <v>15000</v>
      </c>
      <c r="E6" s="26" t="n">
        <v>15750</v>
      </c>
      <c r="F6" s="26" t="n">
        <v>16537.5</v>
      </c>
      <c r="G6" s="26" t="n">
        <v>17364.375</v>
      </c>
      <c r="H6" s="26">
        <f>SUM(D6:G6)</f>
        <v/>
      </c>
    </row>
    <row r="7">
      <c r="A7" s="27" t="n"/>
      <c r="B7" s="39" t="inlineStr">
        <is>
          <t xml:space="preserve">  Total Benefits</t>
        </is>
      </c>
      <c r="C7" s="40" t="n">
        <v>0</v>
      </c>
      <c r="D7" s="40" t="n">
        <v>188000</v>
      </c>
      <c r="E7" s="40" t="n">
        <v>249910</v>
      </c>
      <c r="F7" s="40" t="n">
        <v>339605.3</v>
      </c>
      <c r="G7" s="40" t="n">
        <v>470047.909</v>
      </c>
      <c r="H7" s="40" t="n">
        <v>1247563.209</v>
      </c>
    </row>
    <row r="8">
      <c r="A8" s="27" t="n"/>
      <c r="B8" s="38" t="n"/>
      <c r="C8" s="37" t="n"/>
      <c r="D8" s="37" t="n"/>
      <c r="E8" s="37" t="n"/>
      <c r="F8" s="37" t="n"/>
      <c r="G8" s="37" t="n"/>
      <c r="H8" s="37" t="n"/>
    </row>
    <row r="9">
      <c r="A9" s="72" t="inlineStr">
        <is>
          <t>Development costs</t>
        </is>
      </c>
      <c r="B9" s="73" t="n"/>
      <c r="C9" s="37" t="n"/>
      <c r="D9" s="37" t="n"/>
      <c r="E9" s="37" t="n"/>
      <c r="F9" s="37" t="n"/>
      <c r="G9" s="37" t="n"/>
      <c r="H9" s="37" t="n"/>
    </row>
    <row r="10">
      <c r="A10" s="27" t="n">
        <v>211</v>
      </c>
      <c r="B10" s="16" t="inlineStr">
        <is>
          <t>Labor: Project Manager</t>
        </is>
      </c>
      <c r="C10" s="26" t="n">
        <v>10200</v>
      </c>
      <c r="D10" s="26" t="inlineStr">
        <is>
          <t>-</t>
        </is>
      </c>
      <c r="E10" s="26" t="inlineStr">
        <is>
          <t>-</t>
        </is>
      </c>
      <c r="F10" s="26" t="inlineStr">
        <is>
          <t>-</t>
        </is>
      </c>
      <c r="G10" s="26" t="inlineStr">
        <is>
          <t>-</t>
        </is>
      </c>
      <c r="H10" s="26">
        <f>SUM(C10:G10)</f>
        <v/>
      </c>
    </row>
    <row r="11">
      <c r="A11" s="27" t="n">
        <v>212</v>
      </c>
      <c r="B11" s="19" t="inlineStr">
        <is>
          <t>Labor: Business Analyst</t>
        </is>
      </c>
      <c r="C11" s="26" t="n">
        <v>14400</v>
      </c>
      <c r="D11" s="26" t="inlineStr">
        <is>
          <t>-</t>
        </is>
      </c>
      <c r="E11" s="26" t="inlineStr">
        <is>
          <t>-</t>
        </is>
      </c>
      <c r="F11" s="26" t="inlineStr">
        <is>
          <t>-</t>
        </is>
      </c>
      <c r="G11" s="26" t="inlineStr">
        <is>
          <t>-</t>
        </is>
      </c>
      <c r="H11" s="26">
        <f>SUM(C11:G11)</f>
        <v/>
      </c>
    </row>
    <row r="12">
      <c r="A12" s="27" t="n">
        <v>213</v>
      </c>
      <c r="B12" s="19" t="inlineStr">
        <is>
          <t>Labor: Senior Developer 1</t>
        </is>
      </c>
      <c r="C12" s="26" t="n">
        <v>19200</v>
      </c>
      <c r="D12" s="26" t="inlineStr">
        <is>
          <t>-</t>
        </is>
      </c>
      <c r="E12" s="26" t="inlineStr">
        <is>
          <t>-</t>
        </is>
      </c>
      <c r="F12" s="26" t="inlineStr">
        <is>
          <t>-</t>
        </is>
      </c>
      <c r="G12" s="26" t="inlineStr">
        <is>
          <t>-</t>
        </is>
      </c>
      <c r="H12" s="26">
        <f>SUM(C12:G12)</f>
        <v/>
      </c>
    </row>
    <row r="13">
      <c r="A13" s="27" t="n">
        <v>214</v>
      </c>
      <c r="B13" s="19" t="inlineStr">
        <is>
          <t>Labor: Web Designer/Content Manager</t>
        </is>
      </c>
      <c r="C13" s="26" t="n">
        <v>4800</v>
      </c>
      <c r="D13" s="26" t="inlineStr">
        <is>
          <t>-</t>
        </is>
      </c>
      <c r="E13" s="26" t="inlineStr">
        <is>
          <t>-</t>
        </is>
      </c>
      <c r="F13" s="26" t="inlineStr">
        <is>
          <t>-</t>
        </is>
      </c>
      <c r="G13" s="26" t="inlineStr">
        <is>
          <t>-</t>
        </is>
      </c>
      <c r="H13" s="26">
        <f>SUM(C13:G13)</f>
        <v/>
      </c>
    </row>
    <row r="14">
      <c r="A14" s="27" t="n">
        <v>215</v>
      </c>
      <c r="B14" s="19" t="inlineStr">
        <is>
          <t>Labor: Application Developer</t>
        </is>
      </c>
      <c r="C14" s="26" t="n">
        <v>8320</v>
      </c>
      <c r="D14" s="26" t="inlineStr">
        <is>
          <t>-</t>
        </is>
      </c>
      <c r="E14" s="26" t="inlineStr">
        <is>
          <t>-</t>
        </is>
      </c>
      <c r="F14" s="26" t="inlineStr">
        <is>
          <t>-</t>
        </is>
      </c>
      <c r="G14" s="26" t="inlineStr">
        <is>
          <t>-</t>
        </is>
      </c>
      <c r="H14" s="26">
        <f>SUM(C14:G14)</f>
        <v/>
      </c>
    </row>
    <row r="15">
      <c r="A15" s="27" t="n">
        <v>216</v>
      </c>
      <c r="B15" s="19" t="inlineStr">
        <is>
          <t>Labor: Quality Control</t>
        </is>
      </c>
      <c r="C15" s="26" t="n">
        <v>3200</v>
      </c>
      <c r="D15" s="26" t="inlineStr">
        <is>
          <t>-</t>
        </is>
      </c>
      <c r="E15" s="26" t="inlineStr">
        <is>
          <t>-</t>
        </is>
      </c>
      <c r="F15" s="26" t="inlineStr">
        <is>
          <t>-</t>
        </is>
      </c>
      <c r="G15" s="26" t="inlineStr">
        <is>
          <t>-</t>
        </is>
      </c>
      <c r="H15" s="26">
        <f>SUM(C15:G15)</f>
        <v/>
      </c>
    </row>
    <row r="16">
      <c r="A16" s="27" t="n">
        <v>219</v>
      </c>
      <c r="B16" s="38" t="inlineStr">
        <is>
          <t>DBA (one-time) + capital equipment &amp; licenses</t>
        </is>
      </c>
      <c r="C16" s="26" t="n">
        <v>22887</v>
      </c>
      <c r="D16" s="26" t="inlineStr">
        <is>
          <t>-</t>
        </is>
      </c>
      <c r="E16" s="26" t="inlineStr">
        <is>
          <t>-</t>
        </is>
      </c>
      <c r="F16" s="26" t="inlineStr">
        <is>
          <t>-</t>
        </is>
      </c>
      <c r="G16" s="26" t="inlineStr">
        <is>
          <t>-</t>
        </is>
      </c>
      <c r="H16" s="26">
        <f>SUM(C16:G16)</f>
        <v/>
      </c>
    </row>
    <row r="17">
      <c r="A17" s="27" t="n"/>
      <c r="B17" s="39" t="inlineStr">
        <is>
          <t xml:space="preserve">  Total development costs</t>
        </is>
      </c>
      <c r="C17" s="40" t="n">
        <v>83007</v>
      </c>
      <c r="D17" s="26" t="n">
        <v>0</v>
      </c>
      <c r="E17" s="26" t="n">
        <v>0</v>
      </c>
      <c r="F17" s="26" t="n">
        <v>0</v>
      </c>
      <c r="G17" s="26" t="n">
        <v>0</v>
      </c>
      <c r="H17" s="40" t="n">
        <v>83007</v>
      </c>
    </row>
    <row r="18">
      <c r="A18" s="27" t="n"/>
      <c r="B18" s="38" t="n"/>
      <c r="C18" s="37" t="n"/>
      <c r="D18" s="37" t="n"/>
      <c r="E18" s="37" t="n"/>
      <c r="F18" s="37" t="n"/>
      <c r="G18" s="37" t="n"/>
      <c r="H18" s="37" t="n"/>
    </row>
    <row r="19">
      <c r="A19" s="42" t="inlineStr">
        <is>
          <t>Operational costs</t>
        </is>
      </c>
      <c r="B19" s="46" t="n"/>
      <c r="C19" s="37" t="n"/>
      <c r="D19" s="37" t="n"/>
      <c r="E19" s="37" t="n"/>
      <c r="F19" s="37" t="n"/>
      <c r="G19" s="37" t="n"/>
      <c r="H19" s="37" t="n"/>
    </row>
    <row r="20">
      <c r="A20" s="24" t="n">
        <v>311</v>
      </c>
      <c r="B20" s="58" t="inlineStr">
        <is>
          <t xml:space="preserve">Software license and renewal </t>
        </is>
      </c>
      <c r="C20" s="37" t="inlineStr">
        <is>
          <t>-</t>
        </is>
      </c>
      <c r="D20" s="26" t="n">
        <v>3400</v>
      </c>
      <c r="E20" s="26" t="n">
        <v>3072</v>
      </c>
      <c r="F20" s="26" t="n">
        <v>3072</v>
      </c>
      <c r="G20" s="26" t="n">
        <v>3072</v>
      </c>
      <c r="H20" s="26">
        <f>SUM(D20:G20)</f>
        <v/>
      </c>
    </row>
    <row r="21">
      <c r="A21" s="27" t="n">
        <v>312</v>
      </c>
      <c r="B21" s="24" t="inlineStr">
        <is>
          <t>Hosting and Infrastructure</t>
        </is>
      </c>
      <c r="C21" s="26" t="inlineStr">
        <is>
          <t>-</t>
        </is>
      </c>
      <c r="D21" s="26" t="n">
        <v>12000</v>
      </c>
      <c r="E21" s="26" t="n">
        <v>12000</v>
      </c>
      <c r="F21" s="26" t="n">
        <v>12000</v>
      </c>
      <c r="G21" s="26" t="n">
        <v>12000</v>
      </c>
      <c r="H21" s="26">
        <f>SUM(D21:G21)</f>
        <v/>
      </c>
    </row>
    <row r="22">
      <c r="A22" s="28" t="n">
        <v>313</v>
      </c>
      <c r="B22" s="58" t="inlineStr">
        <is>
          <t>Database Adminstrator</t>
        </is>
      </c>
      <c r="C22" s="26" t="inlineStr">
        <is>
          <t>-</t>
        </is>
      </c>
      <c r="D22" s="26" t="n">
        <v>3006</v>
      </c>
      <c r="E22" s="26" t="n">
        <v>3006</v>
      </c>
      <c r="F22" s="26" t="n">
        <v>3006</v>
      </c>
      <c r="G22" s="26" t="n">
        <v>3006</v>
      </c>
      <c r="H22" s="26">
        <f>SUM(D22:G22)</f>
        <v/>
      </c>
    </row>
    <row r="23">
      <c r="A23" s="24" t="n">
        <v>314</v>
      </c>
      <c r="B23" s="29" t="inlineStr">
        <is>
          <t>Backup &amp; Disaster Recovery</t>
        </is>
      </c>
      <c r="C23" s="26" t="inlineStr">
        <is>
          <t>-</t>
        </is>
      </c>
      <c r="D23" s="26" t="n">
        <v>2200</v>
      </c>
      <c r="E23" s="26" t="n">
        <v>2200</v>
      </c>
      <c r="F23" s="26" t="n">
        <v>2200</v>
      </c>
      <c r="G23" s="26" t="n">
        <v>2200</v>
      </c>
      <c r="H23" s="26">
        <f>SUM(D23:G23)</f>
        <v/>
      </c>
    </row>
    <row r="24">
      <c r="A24" s="27" t="n">
        <v>315</v>
      </c>
      <c r="B24" s="58" t="inlineStr">
        <is>
          <t xml:space="preserve">Training &amp; Documentations </t>
        </is>
      </c>
      <c r="C24" s="41" t="inlineStr">
        <is>
          <t>-</t>
        </is>
      </c>
      <c r="D24" s="30" t="n">
        <v>3500</v>
      </c>
      <c r="E24" s="30" t="n">
        <v>3500</v>
      </c>
      <c r="F24" s="30" t="n">
        <v>3500</v>
      </c>
      <c r="G24" s="30" t="n">
        <v>3500</v>
      </c>
      <c r="H24" s="26">
        <f>SUM(D24:G24)</f>
        <v/>
      </c>
    </row>
    <row r="25">
      <c r="A25" s="28" t="n">
        <v>316</v>
      </c>
      <c r="B25" s="31" t="inlineStr">
        <is>
          <t>Security Measures</t>
        </is>
      </c>
      <c r="C25" s="26" t="inlineStr">
        <is>
          <t>-</t>
        </is>
      </c>
      <c r="D25" s="26" t="n">
        <v>3400</v>
      </c>
      <c r="E25" s="26" t="n">
        <v>3400</v>
      </c>
      <c r="F25" s="26" t="n">
        <v>3400</v>
      </c>
      <c r="G25" s="26" t="n">
        <v>3400</v>
      </c>
      <c r="H25" s="26">
        <f>SUM(D25:G25)</f>
        <v/>
      </c>
    </row>
    <row r="26">
      <c r="A26" s="24" t="n">
        <v>317</v>
      </c>
      <c r="B26" s="31" t="inlineStr">
        <is>
          <t xml:space="preserve">Regulatory Compliance </t>
        </is>
      </c>
      <c r="C26" s="26" t="inlineStr">
        <is>
          <t>-</t>
        </is>
      </c>
      <c r="D26" s="27" t="n">
        <v>3200</v>
      </c>
      <c r="E26" s="27" t="n">
        <v>3200</v>
      </c>
      <c r="F26" s="27" t="n">
        <v>3200</v>
      </c>
      <c r="G26" s="27" t="n">
        <v>3200</v>
      </c>
      <c r="H26" s="26">
        <f>SUM(D26:G26)</f>
        <v/>
      </c>
    </row>
    <row r="27">
      <c r="A27" s="27" t="n"/>
      <c r="B27" s="32" t="n"/>
      <c r="C27" s="26" t="n"/>
      <c r="D27" s="26" t="n"/>
      <c r="E27" s="26" t="n"/>
      <c r="F27" s="26" t="n"/>
      <c r="G27" s="26" t="n"/>
      <c r="H27" s="26" t="n"/>
    </row>
    <row r="28">
      <c r="A28" s="27" t="n"/>
      <c r="B28" s="39" t="inlineStr">
        <is>
          <t xml:space="preserve">  Total operational costs</t>
        </is>
      </c>
      <c r="C28" s="40" t="n">
        <v>0</v>
      </c>
      <c r="D28" s="40" t="n">
        <v>30706</v>
      </c>
      <c r="E28" s="40" t="n">
        <v>30378</v>
      </c>
      <c r="F28" s="40" t="n">
        <v>30378</v>
      </c>
      <c r="G28" s="40" t="n">
        <v>30378</v>
      </c>
      <c r="H28" s="40" t="n">
        <v>121840</v>
      </c>
    </row>
    <row r="29">
      <c r="A29" s="27" t="n"/>
      <c r="B29" s="38" t="n"/>
      <c r="C29" s="37" t="n"/>
      <c r="D29" s="37" t="n"/>
      <c r="E29" s="37" t="n"/>
      <c r="F29" s="37" t="n"/>
      <c r="G29" s="37" t="n"/>
      <c r="H29" s="37" t="n"/>
    </row>
    <row r="30" ht="17.25" customHeight="1" s="56">
      <c r="A30" s="42" t="n">
        <v>401</v>
      </c>
      <c r="B30" s="39" t="inlineStr">
        <is>
          <t xml:space="preserve">  Total costs</t>
        </is>
      </c>
      <c r="C30" s="40" t="n">
        <v>83007</v>
      </c>
      <c r="D30" s="40" t="n">
        <v>30706</v>
      </c>
      <c r="E30" s="40" t="n">
        <v>30378</v>
      </c>
      <c r="F30" s="40" t="n">
        <v>30378</v>
      </c>
      <c r="G30" s="40" t="n">
        <v>30378</v>
      </c>
      <c r="H30" s="40" t="n">
        <v>204847</v>
      </c>
    </row>
    <row r="31" ht="17.25" customHeight="1" s="56">
      <c r="A31" s="42" t="n">
        <v>402</v>
      </c>
      <c r="B31" s="39" t="inlineStr">
        <is>
          <t xml:space="preserve">  Net benefits</t>
        </is>
      </c>
      <c r="C31" s="43" t="n">
        <v>-83007</v>
      </c>
      <c r="D31" s="40" t="n">
        <v>157294</v>
      </c>
      <c r="E31" s="40" t="n">
        <v>219532</v>
      </c>
      <c r="F31" s="40" t="n">
        <v>309227.3</v>
      </c>
      <c r="G31" s="40" t="n">
        <v>439669.909</v>
      </c>
      <c r="H31" s="40" t="n">
        <v>1042716.209</v>
      </c>
    </row>
    <row r="32">
      <c r="A32" s="42" t="n">
        <v>403</v>
      </c>
      <c r="B32" s="39" t="inlineStr">
        <is>
          <t>Cumulative Net Cash Flow</t>
        </is>
      </c>
      <c r="C32" s="43" t="n">
        <v>-83007</v>
      </c>
      <c r="D32" s="43" t="n">
        <v>74287</v>
      </c>
      <c r="E32" s="43" t="n">
        <v>293819</v>
      </c>
      <c r="F32" s="43" t="n">
        <v>603046.3</v>
      </c>
      <c r="G32" s="43" t="n">
        <v>1042716.209</v>
      </c>
      <c r="H32" s="43" t="n"/>
    </row>
    <row r="33">
      <c r="B33" s="53">
        <f>IFERROR(CONCAT("ROI = ",TEXT(H31,"#,##0")," / ",TEXT(H30,"#,##0")," = ",TEXT(H31/H30*100,"0.00"),"%"),"ROI: see H31/H30")</f>
        <v/>
      </c>
      <c r="C33" s="74" t="n"/>
      <c r="D33" s="74" t="n"/>
      <c r="E33" s="44" t="n"/>
      <c r="F33" s="44" t="n"/>
      <c r="G33" s="44" t="n"/>
      <c r="H33" s="44" t="n"/>
    </row>
    <row r="34" ht="32.7" customHeight="1" s="56"/>
    <row r="35">
      <c r="B35" s="52" t="inlineStr">
        <is>
          <t>Payback Period = YEAR 2</t>
        </is>
      </c>
    </row>
    <row r="37">
      <c r="B37" s="88" t="inlineStr">
        <is>
          <t>Comments</t>
        </is>
      </c>
      <c r="C37" s="89" t="n"/>
      <c r="D37" s="89" t="n"/>
      <c r="E37" s="89" t="n"/>
      <c r="F37" s="89" t="n"/>
      <c r="G37" s="89" t="n"/>
      <c r="H37" s="89" t="n"/>
    </row>
    <row r="38" ht="62" customHeight="1" s="56">
      <c r="B38" s="90" t="inlineStr">
        <is>
          <t>This sheet summarizes the 5-year financial feasibility. Year 1 captures one-time development cost, Years 2-5 include recurring operational costs, and benefits are calculated from revenue growth and cost-saving assumptions in the DETAILS sheet. Read Total Costs, Net Benefits, and Cumulative Net Cash Flow together to confirm financial viability and payback timing.</t>
        </is>
      </c>
      <c r="C38" s="91" t="n"/>
      <c r="D38" s="91" t="n"/>
      <c r="E38" s="91" t="n"/>
      <c r="F38" s="91" t="n"/>
      <c r="G38" s="91" t="n"/>
      <c r="H38" s="92" t="n"/>
    </row>
    <row r="40">
      <c r="B40" s="88" t="inlineStr">
        <is>
          <t>Conclusion</t>
        </is>
      </c>
      <c r="C40" s="89" t="n"/>
      <c r="D40" s="89" t="n"/>
      <c r="E40" s="89" t="n"/>
      <c r="F40" s="89" t="n"/>
      <c r="G40" s="89" t="n"/>
      <c r="H40" s="89" t="n"/>
    </row>
    <row r="41" ht="34" customHeight="1" s="56">
      <c r="B41" s="90" t="inlineStr">
        <is>
          <t>Conclusion: Financially feasible. Year 1 total cost = USD 83,007; Year 2 net benefit = USD 157,294; cumulative net cash flow by Year 5 = USD 1,042,716.21; payback occurs in Year 2.</t>
        </is>
      </c>
      <c r="C41" s="91" t="n"/>
      <c r="D41" s="91" t="n"/>
      <c r="E41" s="91" t="n"/>
      <c r="F41" s="91" t="n"/>
      <c r="G41" s="91" t="n"/>
      <c r="H41" s="92" t="n"/>
    </row>
    <row r="110">
      <c r="D110" t="n">
        <v>56000</v>
      </c>
      <c r="E110" t="n">
        <v>78400</v>
      </c>
      <c r="F110" t="n">
        <v>109760</v>
      </c>
      <c r="G110" t="n">
        <v>153664</v>
      </c>
    </row>
    <row r="111">
      <c r="D111" t="n">
        <v>75000</v>
      </c>
      <c r="E111" t="n">
        <v>105000</v>
      </c>
      <c r="F111" t="n">
        <v>147000</v>
      </c>
      <c r="G111" t="n">
        <v>205500</v>
      </c>
    </row>
    <row r="114">
      <c r="D114" t="n">
        <v>42000</v>
      </c>
      <c r="E114" t="n">
        <v>44100</v>
      </c>
      <c r="F114" t="n">
        <v>46200</v>
      </c>
    </row>
  </sheetData>
  <mergeCells count="8">
    <mergeCell ref="A2:B2"/>
    <mergeCell ref="B41:H41"/>
    <mergeCell ref="A19:B19"/>
    <mergeCell ref="B38:H38"/>
    <mergeCell ref="A1:B1"/>
    <mergeCell ref="A9:B9"/>
    <mergeCell ref="B35:C35"/>
    <mergeCell ref="B33:D34"/>
  </mergeCells>
  <pageMargins left="0.3" right="0.3" top="0.4" bottom="0.4" header="0.5" footer="0.5"/>
  <pageSetup orientation="landscape" scale="80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D35" sqref="D35"/>
    </sheetView>
  </sheetViews>
  <sheetFormatPr baseColWidth="8" defaultColWidth="9" defaultRowHeight="12.3"/>
  <cols>
    <col width="5.27734375" customWidth="1" style="56" min="1" max="1"/>
    <col width="34.27734375" customWidth="1" style="56" min="2" max="2"/>
    <col width="9.88671875" customWidth="1" style="56" min="3" max="3"/>
    <col width="10.94140625" customWidth="1" style="56" min="4" max="4"/>
    <col width="14.21875" customWidth="1" style="56" min="5" max="5"/>
    <col width="15.0546875" customWidth="1" style="56" min="6" max="6"/>
    <col width="8.88671875" customWidth="1" style="56" min="7" max="8"/>
  </cols>
  <sheetData>
    <row r="1">
      <c r="A1" s="8" t="n"/>
      <c r="B1" s="8" t="n"/>
      <c r="C1" s="9" t="inlineStr">
        <is>
          <t>LY Revenue</t>
        </is>
      </c>
      <c r="D1" s="8" t="inlineStr">
        <is>
          <t>Increase %</t>
        </is>
      </c>
      <c r="E1" s="9" t="inlineStr">
        <is>
          <t>Total Increase Year 2</t>
        </is>
      </c>
      <c r="F1" s="9" t="inlineStr">
        <is>
          <t>Year 3</t>
        </is>
      </c>
      <c r="G1" s="9" t="inlineStr">
        <is>
          <t>Year 4</t>
        </is>
      </c>
      <c r="H1" s="9" t="inlineStr">
        <is>
          <t>Year 5</t>
        </is>
      </c>
    </row>
    <row r="2">
      <c r="A2" s="10" t="n">
        <v>110</v>
      </c>
      <c r="B2" s="11" t="inlineStr">
        <is>
          <t>Increased Revenues</t>
        </is>
      </c>
      <c r="C2" s="11" t="n">
        <v>40000</v>
      </c>
      <c r="D2" s="10" t="n">
        <v>0.4</v>
      </c>
      <c r="E2" s="12" t="n">
        <v>56000</v>
      </c>
      <c r="F2" s="12" t="n">
        <v>78400</v>
      </c>
      <c r="G2" s="12" t="n">
        <v>109760</v>
      </c>
      <c r="H2" s="12" t="n">
        <v>153664</v>
      </c>
      <c r="I2" s="52" t="n"/>
    </row>
    <row r="3">
      <c r="A3" s="10" t="n">
        <v>111</v>
      </c>
      <c r="B3" s="11" t="inlineStr">
        <is>
          <t xml:space="preserve">Increased Sales </t>
        </is>
      </c>
      <c r="C3" s="11" t="n">
        <v>50000</v>
      </c>
      <c r="D3" s="10" t="n">
        <v>0.5</v>
      </c>
      <c r="E3" s="11" t="n">
        <v>75000</v>
      </c>
      <c r="F3" s="10">
        <f>E3*1.5</f>
        <v/>
      </c>
      <c r="G3" s="10">
        <f>F3*1.5</f>
        <v/>
      </c>
      <c r="H3" s="10">
        <f>G3*1.5</f>
        <v/>
      </c>
    </row>
    <row r="4">
      <c r="B4" t="inlineStr">
        <is>
          <t>**Incremental increase in revenue per year, starting with Year 2 (40% increase over LY), then (40% increase YoY)</t>
        </is>
      </c>
    </row>
    <row r="7">
      <c r="A7" s="13" t="n"/>
      <c r="B7" s="13" t="n"/>
      <c r="C7" s="13" t="inlineStr">
        <is>
          <t>Rate</t>
        </is>
      </c>
      <c r="D7" s="13" t="inlineStr">
        <is>
          <t>Total # of Hours</t>
        </is>
      </c>
      <c r="E7" s="57" t="inlineStr">
        <is>
          <t>Total Amount</t>
        </is>
      </c>
      <c r="F7" s="57" t="inlineStr">
        <is>
          <t xml:space="preserve">Description </t>
        </is>
      </c>
      <c r="G7" s="57" t="inlineStr">
        <is>
          <t>Source</t>
        </is>
      </c>
      <c r="H7" s="57" t="n"/>
    </row>
    <row r="8">
      <c r="A8" s="15" t="n">
        <v>211</v>
      </c>
      <c r="B8" s="16" t="inlineStr">
        <is>
          <t>Labor: Project Manager</t>
        </is>
      </c>
      <c r="C8" s="15" t="n">
        <v>100</v>
      </c>
      <c r="D8" s="15" t="n">
        <v>102</v>
      </c>
      <c r="E8" s="10" t="n">
        <v>10200</v>
      </c>
      <c r="F8" s="10" t="inlineStr">
        <is>
          <t>512*0.2</t>
        </is>
      </c>
      <c r="G8" s="17" t="inlineStr">
        <is>
          <t>https://www.coursera.org/articles/project-manager-salary</t>
        </is>
      </c>
    </row>
    <row r="9">
      <c r="A9" s="18" t="n">
        <v>212</v>
      </c>
      <c r="B9" s="19" t="inlineStr">
        <is>
          <t>Labor: Business Analyst</t>
        </is>
      </c>
      <c r="C9" s="18" t="n">
        <v>90</v>
      </c>
      <c r="D9" s="18" t="n">
        <v>160</v>
      </c>
      <c r="E9" s="10" t="n">
        <v>14400</v>
      </c>
      <c r="F9" s="10" t="inlineStr">
        <is>
          <t>2hrs/day/4months</t>
        </is>
      </c>
      <c r="G9" s="17" t="inlineStr">
        <is>
          <t>https://www.glassdoor.co.in/Salaries/united-states-business-analyst-salary-SRCH_IL.0,13_IN1_KO14,30.htm#:~:text=The%20average%20additional%20cash%20compensation%20for%20a%20Business,Glassdoor%20by%20Business%20Analyst%20employees%20in%20United%20States.</t>
        </is>
      </c>
    </row>
    <row r="10">
      <c r="A10" s="18" t="n">
        <v>213</v>
      </c>
      <c r="B10" s="19" t="inlineStr">
        <is>
          <t>Labor: Senior Developer 1</t>
        </is>
      </c>
      <c r="C10" s="18" t="n">
        <v>150</v>
      </c>
      <c r="D10" s="18" t="n">
        <v>128</v>
      </c>
      <c r="E10" s="10" t="n">
        <v>19200</v>
      </c>
      <c r="F10" s="10" t="inlineStr">
        <is>
          <t>8hr/week/4months</t>
        </is>
      </c>
      <c r="G10" s="17" t="inlineStr">
        <is>
          <t>Compensation Management Solution - CompAnalyst | Salary.com</t>
        </is>
      </c>
    </row>
    <row r="11">
      <c r="A11" s="18" t="n">
        <v>214</v>
      </c>
      <c r="B11" s="19" t="inlineStr">
        <is>
          <t>Labor: Web Designer/Content Manager</t>
        </is>
      </c>
      <c r="C11" s="18" t="n">
        <v>75</v>
      </c>
      <c r="D11" s="18" t="n">
        <v>64</v>
      </c>
      <c r="E11" s="10" t="n">
        <v>4800</v>
      </c>
      <c r="F11" s="10" t="inlineStr">
        <is>
          <t>4hr/week/4months</t>
        </is>
      </c>
      <c r="G11" s="17" t="inlineStr">
        <is>
          <t>https://www.coursera.org/articles/project-manager-salary</t>
        </is>
      </c>
    </row>
    <row r="12">
      <c r="A12" s="18" t="n">
        <v>215</v>
      </c>
      <c r="B12" s="19" t="inlineStr">
        <is>
          <t xml:space="preserve">Labor:  Application Developer </t>
        </is>
      </c>
      <c r="C12" s="18" t="n">
        <v>65</v>
      </c>
      <c r="D12" s="18" t="n">
        <v>128</v>
      </c>
      <c r="E12" s="10" t="n">
        <v>8320</v>
      </c>
      <c r="F12" s="10" t="inlineStr">
        <is>
          <t>8hrs/week/4month</t>
        </is>
      </c>
      <c r="G12" s="17" t="inlineStr">
        <is>
          <t>https://www.ziprecruiter.com/Salaries/Software-Applications-Developer-Salary-in-Washington,DC</t>
        </is>
      </c>
    </row>
    <row r="13">
      <c r="A13" s="18" t="n">
        <v>216</v>
      </c>
      <c r="B13" s="19" t="inlineStr">
        <is>
          <t>Labor:  Quality Control</t>
        </is>
      </c>
      <c r="C13" s="18" t="n">
        <v>100</v>
      </c>
      <c r="D13" s="18" t="n">
        <v>32</v>
      </c>
      <c r="E13" s="10" t="n">
        <v>3200</v>
      </c>
      <c r="F13" s="10" t="inlineStr">
        <is>
          <t>8hrs/month/4month</t>
        </is>
      </c>
      <c r="G13" s="17" t="inlineStr">
        <is>
          <t>Salary: Quality Assurance Manager in United States 2024 | Glassdoor</t>
        </is>
      </c>
    </row>
    <row r="14">
      <c r="A14" s="18" t="n"/>
      <c r="B14" s="19" t="n"/>
      <c r="C14" s="18" t="n"/>
      <c r="D14" s="18" t="n"/>
      <c r="E14" s="10" t="n"/>
      <c r="F14" s="10" t="n"/>
      <c r="G14" s="17" t="n"/>
    </row>
    <row r="15">
      <c r="A15" s="10" t="n">
        <v>304</v>
      </c>
      <c r="B15" s="10" t="inlineStr">
        <is>
          <t>DBA</t>
        </is>
      </c>
      <c r="C15" s="10" t="n">
        <v>160</v>
      </c>
      <c r="D15" s="10" t="n">
        <v>80</v>
      </c>
      <c r="E15" s="10" t="n">
        <v>12800</v>
      </c>
      <c r="F15" s="10" t="inlineStr">
        <is>
          <t>5hr/week/4months</t>
        </is>
      </c>
    </row>
    <row r="16">
      <c r="G16" s="20" t="n"/>
      <c r="H16" s="20" t="n"/>
    </row>
    <row r="17">
      <c r="A17" s="57" t="n"/>
      <c r="B17" s="57" t="n"/>
      <c r="C17" s="57" t="inlineStr">
        <is>
          <t>No of Items</t>
        </is>
      </c>
      <c r="D17" s="57" t="inlineStr">
        <is>
          <t>Rate</t>
        </is>
      </c>
      <c r="E17" s="57" t="inlineStr">
        <is>
          <t xml:space="preserve">Total Sum </t>
        </is>
      </c>
      <c r="F17" s="57" t="n"/>
      <c r="G17" s="57" t="inlineStr">
        <is>
          <t>Source</t>
        </is>
      </c>
    </row>
    <row r="18">
      <c r="A18" s="18" t="n">
        <v>216</v>
      </c>
      <c r="B18" s="10" t="inlineStr">
        <is>
          <t>Ipads</t>
        </is>
      </c>
      <c r="C18" s="10" t="n">
        <v>3</v>
      </c>
      <c r="D18" s="10" t="n">
        <v>429</v>
      </c>
      <c r="E18" s="10" t="n">
        <v>1287</v>
      </c>
      <c r="F18" s="10" t="n"/>
      <c r="G18" s="17" t="inlineStr">
        <is>
          <t>https://www.amazon.com/dp/B0BJLXMVMV?tag=track-ect-bing-usa-187242-20&amp;linkCode=osi&amp;th=1&amp;psc=1</t>
        </is>
      </c>
      <c r="H18" s="17" t="n"/>
      <c r="I18" s="11" t="n"/>
    </row>
    <row r="19">
      <c r="A19" s="18" t="n">
        <v>217</v>
      </c>
      <c r="B19" s="10" t="inlineStr">
        <is>
          <t>Monthly Subcriptions</t>
        </is>
      </c>
      <c r="C19" s="75" t="n">
        <v>200</v>
      </c>
      <c r="D19" s="22" t="inlineStr">
        <is>
          <t>4months</t>
        </is>
      </c>
      <c r="E19" s="22" t="n">
        <v>800</v>
      </c>
      <c r="F19" s="10" t="n"/>
      <c r="G19" s="17" t="inlineStr">
        <is>
          <t>https://www.hostgator.com/promo/top10best?clickid=3CvXjzSBzxyNTz%3ARtMS-yR5NUkH1ejwmIzLezo0&amp;irgwc=1&amp;affpat=1&amp;mpid=34020&amp;utm_source=IR&amp;utm_medium=affiliate&amp;utm_campaign=Natural%20Intelligence%20LTD%2C&amp;channelid=P61C46098237S645N0B2A20D0E0000V100&amp;siteID=46098437&amp;irpid=34020</t>
        </is>
      </c>
      <c r="H19" s="17" t="n"/>
    </row>
    <row r="20">
      <c r="A20" s="18" t="n">
        <v>218</v>
      </c>
      <c r="B20" s="10" t="inlineStr">
        <is>
          <t>Desktops</t>
        </is>
      </c>
      <c r="C20" s="10" t="n">
        <v>6</v>
      </c>
      <c r="D20" s="10" t="n">
        <v>1000</v>
      </c>
      <c r="E20" s="10" t="n">
        <v>6000</v>
      </c>
      <c r="F20" s="10" t="n"/>
      <c r="G20" s="17" t="inlineStr">
        <is>
          <t>Amazon.com: LG Gram 17" WQXGA Intel Evo Platform Laptop, 13th Gen Intel i7-1360P Processor, 16GB RAM, 2TB SSD, Webcam, Bluetooth, USB-C, Backlit Keyboard, Windows 11, School and Business Ready, LIONEYE Bundle : Electronics</t>
        </is>
      </c>
      <c r="H20" s="17" t="n"/>
    </row>
    <row r="21">
      <c r="A21" s="18" t="n">
        <v>220</v>
      </c>
      <c r="B21" s="10" t="inlineStr">
        <is>
          <t>SQL Server License</t>
        </is>
      </c>
      <c r="C21" s="10" t="inlineStr">
        <is>
          <t>n/a</t>
        </is>
      </c>
      <c r="D21" s="10" t="inlineStr">
        <is>
          <t>n/a</t>
        </is>
      </c>
      <c r="E21" s="10" t="n">
        <v>2000</v>
      </c>
      <c r="F21" s="23" t="n"/>
      <c r="G21" s="17" t="inlineStr">
        <is>
          <t>Microsoft SQL Server 2019 Standard + 10 CALs (trustedtechteam.com)</t>
        </is>
      </c>
      <c r="H21" s="17" t="n"/>
    </row>
    <row r="22">
      <c r="A22" s="55" t="n"/>
      <c r="B22" s="55" t="n"/>
      <c r="F22" s="17" t="n"/>
    </row>
    <row r="23"/>
    <row r="24">
      <c r="A24" s="57" t="n"/>
      <c r="C24" s="57" t="inlineStr">
        <is>
          <t>Year 2</t>
        </is>
      </c>
      <c r="D24" s="57" t="inlineStr">
        <is>
          <t>Year 3</t>
        </is>
      </c>
      <c r="E24" s="57" t="inlineStr">
        <is>
          <t>Year 4</t>
        </is>
      </c>
      <c r="F24" s="57" t="inlineStr">
        <is>
          <t>Year 5</t>
        </is>
      </c>
      <c r="G24" s="57" t="n"/>
      <c r="O24" s="34" t="n"/>
    </row>
    <row r="25">
      <c r="A25" s="24" t="n">
        <v>311</v>
      </c>
      <c r="B25" s="58" t="inlineStr">
        <is>
          <t xml:space="preserve">Software license and renewal </t>
        </is>
      </c>
      <c r="C25" s="26" t="n">
        <v>3400</v>
      </c>
      <c r="D25" s="26" t="n">
        <v>3072</v>
      </c>
      <c r="E25" s="26" t="n">
        <v>3072</v>
      </c>
      <c r="F25" s="26" t="n">
        <v>3072</v>
      </c>
      <c r="G25" s="58" t="inlineStr">
        <is>
          <t>2 Operating system/$200/server, Database software $2000, &amp; Development tools framework1000</t>
        </is>
      </c>
      <c r="H25" s="76" t="n"/>
      <c r="I25" s="76" t="n"/>
      <c r="J25" s="76" t="n"/>
      <c r="K25" s="76" t="n"/>
      <c r="L25" s="76" t="n"/>
      <c r="M25" s="76" t="n"/>
      <c r="N25" s="76" t="n"/>
      <c r="O25" s="46" t="n"/>
    </row>
    <row r="26" ht="12.3" customHeight="1" s="56">
      <c r="A26" s="27" t="n">
        <v>312</v>
      </c>
      <c r="B26" s="24" t="inlineStr">
        <is>
          <t>Hosting and Infrastructure</t>
        </is>
      </c>
      <c r="C26" s="26" t="n">
        <v>12000</v>
      </c>
      <c r="D26" s="26" t="n">
        <v>12000</v>
      </c>
      <c r="E26" s="26" t="n">
        <v>12000</v>
      </c>
      <c r="F26" s="26" t="n">
        <v>12000</v>
      </c>
      <c r="G26" s="59" t="inlineStr">
        <is>
          <t>Cloud hosting services (Google Cloud): $500/month/Dedicated server 500/month</t>
        </is>
      </c>
      <c r="H26" s="76" t="n"/>
      <c r="I26" s="76" t="n"/>
      <c r="J26" s="76" t="n"/>
      <c r="K26" s="76" t="n"/>
      <c r="L26" s="76" t="n"/>
      <c r="M26" s="76" t="n"/>
      <c r="N26" s="76" t="n"/>
      <c r="O26" s="46" t="n"/>
    </row>
    <row r="27">
      <c r="A27" s="28" t="n">
        <v>313</v>
      </c>
      <c r="B27" s="58" t="inlineStr">
        <is>
          <t xml:space="preserve">Database development and Maintenance </t>
        </is>
      </c>
      <c r="C27" s="26" t="n">
        <v>3006</v>
      </c>
      <c r="D27" s="26" t="n">
        <v>3006</v>
      </c>
      <c r="E27" s="26" t="n">
        <v>3006</v>
      </c>
      <c r="F27" s="26" t="n">
        <v>3006</v>
      </c>
      <c r="G27" s="60" t="inlineStr">
        <is>
          <t>5% of development cost annually 0.05*60120</t>
        </is>
      </c>
      <c r="H27" s="76" t="n"/>
      <c r="I27" s="76" t="n"/>
      <c r="J27" s="76" t="n"/>
      <c r="K27" s="76" t="n"/>
      <c r="L27" s="76" t="n"/>
      <c r="M27" s="76" t="n"/>
      <c r="N27" s="76" t="n"/>
      <c r="O27" s="46" t="n"/>
    </row>
    <row r="28">
      <c r="A28" s="24" t="n">
        <v>314</v>
      </c>
      <c r="B28" s="29" t="inlineStr">
        <is>
          <t>Backup &amp; Disaster Recovery</t>
        </is>
      </c>
      <c r="C28" s="26" t="n">
        <v>2200</v>
      </c>
      <c r="D28" s="26" t="n">
        <v>2200</v>
      </c>
      <c r="E28" s="26" t="n">
        <v>2200</v>
      </c>
      <c r="F28" s="26" t="n">
        <v>2200</v>
      </c>
      <c r="G28" s="60" t="inlineStr">
        <is>
          <t>Backup solutions $100/month/12 ,Recovery planning and periodic testing 1000/yr</t>
        </is>
      </c>
      <c r="H28" s="76" t="n"/>
      <c r="I28" s="76" t="n"/>
      <c r="J28" s="76" t="n"/>
      <c r="K28" s="76" t="n"/>
      <c r="L28" s="76" t="n"/>
      <c r="M28" s="76" t="n"/>
      <c r="N28" s="76" t="n"/>
      <c r="O28" s="46" t="n"/>
    </row>
    <row r="29">
      <c r="A29" s="27" t="n">
        <v>315</v>
      </c>
      <c r="B29" s="58" t="inlineStr">
        <is>
          <t xml:space="preserve">Training &amp; Documentations </t>
        </is>
      </c>
      <c r="C29" s="30" t="n">
        <v>3500</v>
      </c>
      <c r="D29" s="30" t="n">
        <v>3500</v>
      </c>
      <c r="E29" s="30" t="n">
        <v>3500</v>
      </c>
      <c r="F29" s="30" t="n">
        <v>3500</v>
      </c>
      <c r="G29" s="60" t="inlineStr">
        <is>
          <t>Document creation and meaintenance $1500/qtr, training cost/ qtr $2000</t>
        </is>
      </c>
      <c r="H29" s="76" t="n"/>
      <c r="I29" s="76" t="n"/>
      <c r="J29" s="76" t="n"/>
      <c r="K29" s="76" t="n"/>
      <c r="L29" s="76" t="n"/>
      <c r="M29" s="76" t="n"/>
      <c r="N29" s="76" t="n"/>
      <c r="O29" s="46" t="n"/>
    </row>
    <row r="30">
      <c r="A30" s="28" t="n">
        <v>316</v>
      </c>
      <c r="B30" s="31" t="inlineStr">
        <is>
          <t xml:space="preserve">System Security Subscription </t>
        </is>
      </c>
      <c r="C30" s="26" t="n">
        <v>3400</v>
      </c>
      <c r="D30" s="26" t="n">
        <v>3400</v>
      </c>
      <c r="E30" s="26" t="n">
        <v>3400</v>
      </c>
      <c r="F30" s="26" t="n">
        <v>3400</v>
      </c>
      <c r="G30" s="58" t="inlineStr">
        <is>
          <t>Security Software and tools $200/month , Regular security Audit $1000/audit/yr</t>
        </is>
      </c>
      <c r="H30" s="76" t="n"/>
      <c r="I30" s="76" t="n"/>
      <c r="J30" s="76" t="n"/>
      <c r="K30" s="76" t="n"/>
      <c r="L30" s="76" t="n"/>
      <c r="M30" s="76" t="n"/>
      <c r="N30" s="76" t="n"/>
      <c r="O30" s="46" t="n"/>
    </row>
    <row r="31">
      <c r="A31" s="24" t="n">
        <v>317</v>
      </c>
      <c r="B31" s="31" t="inlineStr">
        <is>
          <t xml:space="preserve">Regulatory Compliance </t>
        </is>
      </c>
      <c r="C31" s="27" t="n">
        <v>3200</v>
      </c>
      <c r="D31" s="27" t="n">
        <v>3200</v>
      </c>
      <c r="E31" s="27" t="n">
        <v>3200</v>
      </c>
      <c r="F31" s="27" t="n">
        <v>3200</v>
      </c>
      <c r="G31" s="58" t="inlineStr">
        <is>
          <t>Legal consultations 8hrs/qtr @ $100/hr</t>
        </is>
      </c>
      <c r="H31" s="76" t="n"/>
      <c r="I31" s="76" t="n"/>
      <c r="J31" s="76" t="n"/>
      <c r="K31" s="76" t="n"/>
      <c r="L31" s="76" t="n"/>
      <c r="M31" s="76" t="n"/>
      <c r="N31" s="76" t="n"/>
      <c r="O31" s="46" t="n"/>
    </row>
    <row r="32">
      <c r="B32" s="32" t="n"/>
    </row>
    <row r="34">
      <c r="B34" s="88" t="inlineStr">
        <is>
          <t>Comments</t>
        </is>
      </c>
      <c r="C34" s="89" t="n"/>
      <c r="D34" s="89" t="n"/>
      <c r="E34" s="89" t="n"/>
      <c r="F34" s="89" t="n"/>
      <c r="G34" s="89" t="n"/>
    </row>
    <row r="35" ht="56" customHeight="1" s="56">
      <c r="B35" s="90" t="inlineStr">
        <is>
          <t>This sheet documents the assumptions behind every cost and benefit input used in the CBA. It shows labor effort, rates, infrastructure/tooling costs, and operating costs by year, with source references for traceability. Update this sheet first when assumptions change; linked CBA totals will update accordingly.</t>
        </is>
      </c>
      <c r="C35" s="91" t="n"/>
      <c r="D35" s="91" t="n"/>
      <c r="E35" s="91" t="n"/>
      <c r="F35" s="91" t="n"/>
      <c r="G35" s="92" t="n"/>
    </row>
    <row r="37">
      <c r="B37" s="88" t="inlineStr">
        <is>
          <t>Conclusion</t>
        </is>
      </c>
      <c r="C37" s="89" t="n"/>
      <c r="D37" s="89" t="n"/>
      <c r="E37" s="89" t="n"/>
      <c r="F37" s="89" t="n"/>
      <c r="G37" s="89" t="n"/>
    </row>
    <row r="38" ht="30" customHeight="1" s="56">
      <c r="B38" s="90" t="inlineStr">
        <is>
          <t>Conclusion: Assumptions are internally consistent and traceable. Labor estimate = USD 72,920; one-time tools/equipment/licenses = USD 10,087; recurring operating costs = USD 30,706 (Year 2), 30,378 (Year 3), 30,378 (Year 4), and 30,378 (Year 5).</t>
        </is>
      </c>
      <c r="C38" s="91" t="n"/>
      <c r="D38" s="91" t="n"/>
      <c r="E38" s="91" t="n"/>
      <c r="F38" s="91" t="n"/>
      <c r="G38" s="92" t="n"/>
    </row>
  </sheetData>
  <mergeCells count="12">
    <mergeCell ref="B38:G38"/>
    <mergeCell ref="G29:O29"/>
    <mergeCell ref="G30:O30"/>
    <mergeCell ref="A24:B24"/>
    <mergeCell ref="G25:O25"/>
    <mergeCell ref="G27:O27"/>
    <mergeCell ref="G31:O31"/>
    <mergeCell ref="G28:O28"/>
    <mergeCell ref="B35:G35"/>
    <mergeCell ref="G26:O26"/>
    <mergeCell ref="A23:B23"/>
    <mergeCell ref="A22:B22"/>
  </mergeCells>
  <hyperlinks>
    <hyperlink xmlns:r="http://schemas.openxmlformats.org/officeDocument/2006/relationships" ref="G8" r:id="rId1"/>
    <hyperlink xmlns:r="http://schemas.openxmlformats.org/officeDocument/2006/relationships" ref="G9" location=":~:text=The%20average%20additional%20cash%20compensation%20for%20a%20Business,Glassdoor%20by%20Business%20Analyst%20employees%20in%20United%20States" r:id="rId2"/>
    <hyperlink xmlns:r="http://schemas.openxmlformats.org/officeDocument/2006/relationships" ref="G10" r:id="rId3"/>
    <hyperlink xmlns:r="http://schemas.openxmlformats.org/officeDocument/2006/relationships" ref="G11" r:id="rId4"/>
    <hyperlink xmlns:r="http://schemas.openxmlformats.org/officeDocument/2006/relationships" ref="G12" r:id="rId5"/>
    <hyperlink xmlns:r="http://schemas.openxmlformats.org/officeDocument/2006/relationships" ref="G13" r:id="rId6"/>
    <hyperlink xmlns:r="http://schemas.openxmlformats.org/officeDocument/2006/relationships" ref="G18" r:id="rId7"/>
  </hyperlinks>
  <pageMargins left="0.3" right="0.3" top="0.4" bottom="0.4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:C20"/>
    </sheetView>
  </sheetViews>
  <sheetFormatPr baseColWidth="8" defaultColWidth="9" defaultRowHeight="12.3"/>
  <cols>
    <col width="87.27734375" customWidth="1" style="56" min="1" max="1"/>
    <col width="18.71875" customWidth="1" style="56" min="2" max="2"/>
    <col width="10.1640625" customWidth="1" style="56" min="3" max="3"/>
  </cols>
  <sheetData>
    <row r="1" ht="17.7" customHeight="1" s="56">
      <c r="A1" s="1" t="inlineStr">
        <is>
          <t xml:space="preserve">Questions   </t>
        </is>
      </c>
      <c r="B1" s="1" t="inlineStr">
        <is>
          <t xml:space="preserve">Answer   </t>
        </is>
      </c>
      <c r="C1" s="1" t="inlineStr">
        <is>
          <t xml:space="preserve">Rating   </t>
        </is>
      </c>
    </row>
    <row r="2" ht="15.3" customHeight="1" s="56">
      <c r="A2" s="2" t="inlineStr">
        <is>
          <t xml:space="preserve">How long will it take to implement the proposed project   </t>
        </is>
      </c>
      <c r="B2" s="3" t="inlineStr">
        <is>
          <t xml:space="preserve">  1 to 6 months </t>
        </is>
      </c>
      <c r="C2" s="3" t="n">
        <v>1</v>
      </c>
    </row>
    <row r="3" ht="15.3" customHeight="1" s="56">
      <c r="A3" s="2" t="inlineStr">
        <is>
          <t xml:space="preserve">What are the estimated project costs  </t>
        </is>
      </c>
      <c r="B3" s="4" t="inlineStr">
        <is>
          <t>USD 75,000 to USD 250,000</t>
        </is>
      </c>
      <c r="C3" s="4" t="n">
        <v>1</v>
      </c>
    </row>
    <row r="4" ht="15.3" customHeight="1" s="56">
      <c r="A4" s="2" t="inlineStr">
        <is>
          <t xml:space="preserve">Degree of anticipated change to existing business processes:   </t>
        </is>
      </c>
      <c r="B4" s="3" t="inlineStr">
        <is>
          <t xml:space="preserve">  High </t>
        </is>
      </c>
      <c r="C4" s="3" t="n">
        <v>100</v>
      </c>
    </row>
    <row r="5" ht="15.3" customHeight="1" s="56">
      <c r="A5" s="2" t="inlineStr">
        <is>
          <t xml:space="preserve">Number of employees impacted by the system   </t>
        </is>
      </c>
      <c r="B5" s="3" t="inlineStr">
        <is>
          <t xml:space="preserve">  1 to 20 </t>
        </is>
      </c>
      <c r="C5" s="3" t="n">
        <v>1</v>
      </c>
    </row>
    <row r="6" ht="15.3" customHeight="1" s="56">
      <c r="A6" s="2" t="inlineStr">
        <is>
          <t>Number of agencies impacted by the system</t>
        </is>
      </c>
      <c r="B6" s="3" t="inlineStr">
        <is>
          <t>four to Eight</t>
        </is>
      </c>
      <c r="C6" s="3" t="n">
        <v>100</v>
      </c>
    </row>
    <row r="7" ht="15.3" customHeight="1" s="56">
      <c r="A7" s="2" t="inlineStr">
        <is>
          <t xml:space="preserve">Anticipated user attitude to the new process/system:   </t>
        </is>
      </c>
      <c r="B7" s="3" t="inlineStr">
        <is>
          <t>Neutral</t>
        </is>
      </c>
      <c r="C7" s="3" t="n">
        <v>100</v>
      </c>
    </row>
    <row r="8" ht="15.3" customHeight="1" s="56">
      <c r="A8" s="5" t="inlineStr">
        <is>
          <t xml:space="preserve">Number of existing applications that must feed or receive data from the new system   </t>
        </is>
      </c>
      <c r="B8" s="4" t="n">
        <v>0</v>
      </c>
      <c r="C8" s="4" t="n">
        <v>1</v>
      </c>
    </row>
    <row r="9" ht="15.3" customHeight="1" s="56">
      <c r="A9" s="2" t="inlineStr">
        <is>
          <t xml:space="preserve">Volume of required data to be converted from existing system to new system:   </t>
        </is>
      </c>
      <c r="B9" s="3" t="inlineStr">
        <is>
          <t>None</t>
        </is>
      </c>
      <c r="C9" s="3" t="n">
        <v>1</v>
      </c>
    </row>
    <row r="10" ht="28.8" customHeight="1" s="56">
      <c r="A10" s="2" t="inlineStr">
        <is>
          <t xml:space="preserve">Complexity of the required conversion  </t>
        </is>
      </c>
      <c r="B10" s="4" t="inlineStr">
        <is>
          <t>No Conversion Required</t>
        </is>
      </c>
      <c r="C10" s="6" t="n">
        <v>1</v>
      </c>
    </row>
    <row r="11" ht="15.3" customHeight="1" s="56">
      <c r="A11" s="2" t="inlineStr">
        <is>
          <t xml:space="preserve">Will the system be implemented with an off-the-shelf system    </t>
        </is>
      </c>
      <c r="B11" s="4" t="inlineStr">
        <is>
          <t>No</t>
        </is>
      </c>
      <c r="C11" s="4" t="n">
        <v>500</v>
      </c>
    </row>
    <row r="12" ht="22.5" customHeight="1" s="56">
      <c r="A12" s="5" t="inlineStr">
        <is>
          <t>Has the Titans Food developed/implemented system similar in size and complexity in the past</t>
        </is>
      </c>
      <c r="B12" s="4" t="inlineStr">
        <is>
          <t>No</t>
        </is>
      </c>
      <c r="C12" s="4" t="n">
        <v>500</v>
      </c>
    </row>
    <row r="13" ht="15.3" customHeight="1" s="56">
      <c r="A13" s="2" t="inlineStr">
        <is>
          <t xml:space="preserve">Project teams level of experience with the business process being impacted  </t>
        </is>
      </c>
      <c r="B13" s="4" t="inlineStr">
        <is>
          <t>Medium</t>
        </is>
      </c>
      <c r="C13" s="4" t="n">
        <v>100</v>
      </c>
    </row>
    <row r="14" ht="15.3" customHeight="1" s="56">
      <c r="A14" s="5" t="inlineStr">
        <is>
          <t xml:space="preserve">Titans Food staffs experience with implementing systems with similar technologies  </t>
        </is>
      </c>
      <c r="B14" s="4" t="inlineStr">
        <is>
          <t>Low</t>
        </is>
      </c>
      <c r="C14" s="4" t="n">
        <v>250</v>
      </c>
    </row>
    <row r="15" ht="15.3" customHeight="1" s="56">
      <c r="A15" s="2" t="inlineStr">
        <is>
          <t xml:space="preserve">Support of Department Head (s) and Senior Managers in the impacted agencies  </t>
        </is>
      </c>
      <c r="B15" s="4" t="inlineStr">
        <is>
          <t>High</t>
        </is>
      </c>
      <c r="C15" s="4" t="n">
        <v>1</v>
      </c>
    </row>
    <row r="16" ht="43.2" customHeight="1" s="56">
      <c r="A16" s="2" t="inlineStr">
        <is>
          <t xml:space="preserve">Other external entity, such as the State, is involved in the project  </t>
        </is>
      </c>
      <c r="B16" s="4" t="inlineStr">
        <is>
          <t>External Entity is Playing a Minnor Roles</t>
        </is>
      </c>
      <c r="C16" s="4" t="n">
        <v>250</v>
      </c>
    </row>
    <row r="17" ht="18.3" customHeight="1" s="56">
      <c r="A17" s="7">
        <f>CONCAT("Project Score: ",SUM(C2:C16))</f>
        <v/>
      </c>
      <c r="B17" s="77" t="n"/>
      <c r="C17" s="78" t="n"/>
    </row>
    <row r="18" ht="15" customHeight="1" s="56">
      <c r="A18" s="63">
        <f>IF(SUM(C2:C16)&lt;=1000,"Risk Assessment based on Project Score range from 1 to 1,000 (High Risk)",IF(SUM(C2:C16)&lt;=2500,"Risk Assessment based on Project Score range from 1,001 to 2,500 (Low Risk)","Risk Assessment based on Project Score range above 2,500 (Very Low Risk)"))</f>
        <v/>
      </c>
      <c r="B18" s="55" t="n"/>
      <c r="C18" s="55" t="n"/>
    </row>
    <row r="19" ht="15" customHeight="1" s="56">
      <c r="A19" s="79">
        <f>IF(SUM(C2:C16)&lt;=1000,"Risk Assessment based on Project Score range from 1 to 1,000 (High Risk)",IF(SUM(C2:C16)&lt;=2500,"Risk Assessment based on Project Score range from 1,001 to 2,500 (Low Risk)","Risk Assessment based on Project Score range above 2,500 (Very Low Risk)"))</f>
        <v/>
      </c>
      <c r="B19" s="80" t="n"/>
      <c r="C19" s="81" t="n"/>
    </row>
    <row r="20" ht="15.75" customHeight="1" s="56">
      <c r="A20" s="82" t="n"/>
      <c r="B20" s="83" t="n"/>
      <c r="C20" s="84" t="n"/>
    </row>
    <row r="21">
      <c r="A21" s="88" t="inlineStr">
        <is>
          <t>Comments</t>
        </is>
      </c>
      <c r="B21" s="89" t="n"/>
      <c r="C21" s="89" t="n"/>
    </row>
    <row r="22" ht="50" customHeight="1" s="56">
      <c r="A22" s="90" t="inlineStr">
        <is>
          <t>This sheet scores delivery risk using the weighted ratings in column C. The project score is automatically calculated from C2:C16, and the risk status line is formula-driven from that score range. To reassess risk, update answers/ratings only; score and status update automatically.</t>
        </is>
      </c>
      <c r="B22" s="91" t="n"/>
      <c r="C22" s="92" t="n"/>
    </row>
    <row r="24">
      <c r="A24" s="88" t="inlineStr">
        <is>
          <t>Conclusion</t>
        </is>
      </c>
      <c r="B24" s="89" t="n"/>
      <c r="C24" s="89" t="n"/>
    </row>
    <row r="25" ht="28" customHeight="1" s="56">
      <c r="A25" s="90">
        <f>CONCAT("Conclusion: Project Score = ",SUM(C2:C16),". Based on the defined thresholds, this falls in the Low Risk range (1,001 to 2,500), indicating the initiative can proceed with standard governance controls.")</f>
        <v/>
      </c>
      <c r="B25" s="91" t="n"/>
      <c r="C25" s="92" t="n"/>
    </row>
  </sheetData>
  <mergeCells count="5">
    <mergeCell ref="A25:C25"/>
    <mergeCell ref="A19:C20"/>
    <mergeCell ref="A22:C22"/>
    <mergeCell ref="A18:C18"/>
    <mergeCell ref="B17:C17"/>
  </mergeCells>
  <pageMargins left="0.35" right="0.35" top="0.45" bottom="0.45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d2zn</dc:creator>
  <dcterms:created xmlns:dcterms="http://purl.org/dc/terms/" xmlns:xsi="http://www.w3.org/2001/XMLSchema-instance" xsi:type="dcterms:W3CDTF">2008-09-19T11:43:00Z</dcterms:created>
  <dcterms:modified xmlns:dcterms="http://purl.org/dc/terms/" xmlns:xsi="http://www.w3.org/2001/XMLSchema-instance" xsi:type="dcterms:W3CDTF">2026-05-28T03:46:11Z</dcterms:modified>
  <cp:lastModifiedBy>Michael Oyebiyi</cp:lastModifiedBy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i4 xmlns:vt="http://schemas.openxmlformats.org/officeDocument/2006/docPropsVTypes">302923112</vt:i4>
  </property>
  <property name="_NewReviewCycle" fmtid="{D5CDD505-2E9C-101B-9397-08002B2CF9AE}" pid="3">
    <vt:lpwstr xmlns:vt="http://schemas.openxmlformats.org/officeDocument/2006/docPropsVTypes"/>
  </property>
  <property name="_EmailSubject" fmtid="{D5CDD505-2E9C-101B-9397-08002B2CF9AE}" pid="4">
    <vt:lpwstr xmlns:vt="http://schemas.openxmlformats.org/officeDocument/2006/docPropsVTypes">Yearly Benefit &amp; Documents</vt:lpwstr>
  </property>
  <property name="_AuthorEmail" fmtid="{D5CDD505-2E9C-101B-9397-08002B2CF9AE}" pid="5">
    <vt:lpwstr xmlns:vt="http://schemas.openxmlformats.org/officeDocument/2006/docPropsVTypes">Nicholas.Ditizio@CMS.hhs.gov</vt:lpwstr>
  </property>
  <property name="_AuthorEmailDisplayName" fmtid="{D5CDD505-2E9C-101B-9397-08002B2CF9AE}" pid="6">
    <vt:lpwstr xmlns:vt="http://schemas.openxmlformats.org/officeDocument/2006/docPropsVTypes">Ditizio, Nicholas M. (CMS/CTR)</vt:lpwstr>
  </property>
  <property name="_PreviousAdHocReviewCycleID" fmtid="{D5CDD505-2E9C-101B-9397-08002B2CF9AE}" pid="7">
    <vt:i4 xmlns:vt="http://schemas.openxmlformats.org/officeDocument/2006/docPropsVTypes">-1384635658</vt:i4>
  </property>
  <property name="_ReviewingToolsShownOnce" fmtid="{D5CDD505-2E9C-101B-9397-08002B2CF9AE}" pid="8">
    <vt:lpwstr xmlns:vt="http://schemas.openxmlformats.org/officeDocument/2006/docPropsVTypes"/>
  </property>
  <property name="ICV" fmtid="{D5CDD505-2E9C-101B-9397-08002B2CF9AE}" pid="9">
    <vt:lpwstr xmlns:vt="http://schemas.openxmlformats.org/officeDocument/2006/docPropsVTypes">4366932743764DE6A2F4560A8B7689F7_13</vt:lpwstr>
  </property>
  <property name="KSOProductBuildVer" fmtid="{D5CDD505-2E9C-101B-9397-08002B2CF9AE}" pid="10">
    <vt:lpwstr xmlns:vt="http://schemas.openxmlformats.org/officeDocument/2006/docPropsVTypes">1033-12.2.0.13489</vt:lpwstr>
  </property>
</Properties>
</file>